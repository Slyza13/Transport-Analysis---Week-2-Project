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Transport_Mode_Learners" sheetId="2" r:id="rId5"/>
    <sheet state="visible" name="Transport_Mode_Workers" sheetId="3" r:id="rId6"/>
    <sheet state="visible" name="Household_Transport_Costs" sheetId="4" r:id="rId7"/>
    <sheet state="visible" name="Provincial_Transport_Expenditur" sheetId="5" r:id="rId8"/>
  </sheets>
  <definedNames/>
  <calcPr/>
</workbook>
</file>

<file path=xl/sharedStrings.xml><?xml version="1.0" encoding="utf-8"?>
<sst xmlns="http://schemas.openxmlformats.org/spreadsheetml/2006/main" count="44" uniqueCount="33">
  <si>
    <t>Mode of Transport</t>
  </si>
  <si>
    <t>% of Learners</t>
  </si>
  <si>
    <t xml:space="preserve">% of Workers </t>
  </si>
  <si>
    <t>Walk</t>
  </si>
  <si>
    <t>Parent-arranged Transport</t>
  </si>
  <si>
    <t>—</t>
  </si>
  <si>
    <t>Private Car</t>
  </si>
  <si>
    <t>Taxi</t>
  </si>
  <si>
    <t>Bus</t>
  </si>
  <si>
    <t>Lift Clubs / Others</t>
  </si>
  <si>
    <t>Transport_Mode</t>
  </si>
  <si>
    <t>Percentage_of_Learners</t>
  </si>
  <si>
    <t>Parent Transport</t>
  </si>
  <si>
    <t>Other</t>
  </si>
  <si>
    <t>Total</t>
  </si>
  <si>
    <t>Percentage (%)</t>
  </si>
  <si>
    <t>Private car</t>
  </si>
  <si>
    <t>Lift club</t>
  </si>
  <si>
    <t>Others</t>
  </si>
  <si>
    <t xml:space="preserve">                              Section 1: Weekly Transport Costs for Work              Section 2: Weekly Transport Costs for Education</t>
  </si>
  <si>
    <t>Cost Range (R)</t>
  </si>
  <si>
    <t>Percentage of Households (%)</t>
  </si>
  <si>
    <t>R300 or more</t>
  </si>
  <si>
    <t>R301-R500</t>
  </si>
  <si>
    <t>R201-R300</t>
  </si>
  <si>
    <t xml:space="preserve">Others </t>
  </si>
  <si>
    <t xml:space="preserve">Total </t>
  </si>
  <si>
    <t>Province</t>
  </si>
  <si>
    <t>Average Annual Transport Expenditure (R)</t>
  </si>
  <si>
    <t>Western Cape</t>
  </si>
  <si>
    <t>Gauteng</t>
  </si>
  <si>
    <t>Mpumalanga</t>
  </si>
  <si>
    <t>National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</si>
</sst>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/>
    <font>
      <sz val="12.0"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9FC5E8"/>
        <bgColor rgb="FF9FC5E8"/>
      </patternFill>
    </fill>
    <fill>
      <patternFill patternType="solid">
        <fgColor rgb="FFEA9999"/>
        <bgColor rgb="FFEA9999"/>
      </patternFill>
    </fill>
    <fill>
      <patternFill patternType="solid">
        <fgColor rgb="FFE06666"/>
        <bgColor rgb="FFE06666"/>
      </patternFill>
    </fill>
    <fill>
      <patternFill patternType="solid">
        <fgColor rgb="FFCFE2F3"/>
        <bgColor rgb="FFCFE2F3"/>
      </patternFill>
    </fill>
  </fills>
  <borders count="3">
    <border/>
    <border>
      <bottom style="thin">
        <color rgb="FF000000"/>
      </bottom>
    </border>
    <border>
      <right style="thin">
        <color rgb="FFFFFFFF"/>
      </right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readingOrder="0" shrinkToFit="0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borderId="0" fillId="4" fontId="2" numFmtId="0" xfId="0" applyFont="1"/>
    <xf borderId="0" fillId="3" fontId="2" numFmtId="0" xfId="0" applyFont="1"/>
    <xf borderId="0" fillId="5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horizontal="left" readingOrder="0" shrinkToFit="0" wrapText="0"/>
    </xf>
    <xf borderId="1" fillId="0" fontId="4" numFmtId="0" xfId="0" applyBorder="1" applyFont="1"/>
    <xf borderId="2" fillId="0" fontId="4" numFmtId="0" xfId="0" applyBorder="1" applyFont="1"/>
    <xf borderId="0" fillId="0" fontId="3" numFmtId="0" xfId="0" applyAlignment="1" applyFont="1">
      <alignment horizontal="left" readingOrder="0" shrinkToFit="0" wrapText="0"/>
    </xf>
    <xf borderId="0" fillId="5" fontId="5" numFmtId="0" xfId="0" applyAlignment="1" applyFont="1">
      <alignment readingOrder="0" shrinkToFit="0" wrapText="0"/>
    </xf>
    <xf borderId="0" fillId="6" fontId="5" numFmtId="0" xfId="0" applyAlignment="1" applyFill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5" numFmtId="0" xfId="0" applyAlignment="1" applyFont="1">
      <alignment readingOrder="0" shrinkToFit="0" wrapText="0"/>
    </xf>
    <xf borderId="0" fillId="4" fontId="3" numFmtId="0" xfId="0" applyAlignment="1" applyFont="1">
      <alignment readingOrder="0" shrinkToFit="0" wrapText="0"/>
    </xf>
    <xf borderId="0" fillId="4" fontId="5" numFmtId="0" xfId="0" applyAlignment="1" applyFont="1">
      <alignment shrinkToFit="0" wrapText="0"/>
    </xf>
    <xf borderId="0" fillId="7" fontId="5" numFmtId="0" xfId="0" applyAlignment="1" applyFill="1" applyFont="1">
      <alignment shrinkToFit="0" wrapText="0"/>
    </xf>
    <xf borderId="0" fillId="4" fontId="1" numFmtId="0" xfId="0" applyAlignment="1" applyFont="1">
      <alignment readingOrder="0"/>
    </xf>
    <xf borderId="0" fillId="8" fontId="2" numFmtId="0" xfId="0" applyAlignment="1" applyFill="1" applyFont="1">
      <alignment readingOrder="0"/>
    </xf>
    <xf borderId="0" fillId="8" fontId="2" numFmtId="3" xfId="0" applyAlignment="1" applyFont="1" applyNumberFormat="1">
      <alignment readingOrder="0"/>
    </xf>
    <xf borderId="0" fillId="8" fontId="2" numFmtId="0" xfId="0" applyFont="1"/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% of Learners and % of Workers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Sheet1!$A$2:$A$7</c:f>
            </c:strRef>
          </c:cat>
          <c:val>
            <c:numRef>
              <c:f>Sheet1!$B$2:$B$7</c:f>
              <c:numCache/>
            </c:numRef>
          </c:val>
        </c:ser>
        <c:ser>
          <c:idx val="1"/>
          <c:order val="1"/>
          <c:tx>
            <c:strRef>
              <c:f>Sheet1!$C$1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Sheet1!$A$2:$A$7</c:f>
            </c:strRef>
          </c:cat>
          <c:val>
            <c:numRef>
              <c:f>Sheet1!$C$2:$C$7</c:f>
              <c:numCache/>
            </c:numRef>
          </c:val>
        </c:ser>
        <c:axId val="271160209"/>
        <c:axId val="1192756069"/>
      </c:barChart>
      <c:catAx>
        <c:axId val="2711602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Mode of Transport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2756069"/>
      </c:catAx>
      <c:valAx>
        <c:axId val="11927560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11602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C343D"/>
                </a:solidFill>
                <a:latin typeface="Arial"/>
              </a:defRPr>
            </a:pPr>
            <a:r>
              <a:rPr b="0">
                <a:solidFill>
                  <a:srgbClr val="0C343D"/>
                </a:solidFill>
                <a:latin typeface="Arial"/>
              </a:rPr>
              <a:t>Transport Mode Learners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explosion val="0"/>
            <c:spPr>
              <a:solidFill>
                <a:srgbClr val="3D85C6"/>
              </a:solidFill>
            </c:spPr>
          </c:dPt>
          <c:dPt>
            <c:idx val="1"/>
            <c:explosion val="0"/>
            <c:spPr>
              <a:solidFill>
                <a:srgbClr val="EA4335"/>
              </a:solidFill>
            </c:spPr>
          </c:dPt>
          <c:dPt>
            <c:idx val="2"/>
            <c:explosion val="0"/>
            <c:spPr>
              <a:solidFill>
                <a:srgbClr val="FBBC04"/>
              </a:solidFill>
            </c:spPr>
          </c:dPt>
          <c:dPt>
            <c:idx val="3"/>
            <c:explosion val="0"/>
            <c:spPr>
              <a:solidFill>
                <a:srgbClr val="34A853"/>
              </a:solidFill>
            </c:spPr>
          </c:dPt>
          <c:dPt>
            <c:idx val="4"/>
            <c:explosion val="0"/>
            <c:spPr>
              <a:solidFill>
                <a:srgbClr val="FF6D01"/>
              </a:solidFill>
            </c:spPr>
          </c:dPt>
          <c:dPt>
            <c:idx val="5"/>
            <c:explosion val="0"/>
            <c:spPr>
              <a:solidFill>
                <a:srgbClr val="46BDC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Transport_Mode_Learners!$A$2:$A$7</c:f>
            </c:strRef>
          </c:cat>
          <c:val>
            <c:numRef>
              <c:f>Transport_Mode_Learners!$B$2:$B$7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Mode of Transport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Transport_Mode_Workers!$B$1</c:f>
            </c:strRef>
          </c:tx>
          <c:spPr>
            <a:solidFill>
              <a:srgbClr val="A4C2F4"/>
            </a:solidFill>
            <a:ln cmpd="sng">
              <a:solidFill>
                <a:srgbClr val="3D85C6">
                  <a:alpha val="100000"/>
                </a:srgbClr>
              </a:solidFill>
            </a:ln>
          </c:spPr>
          <c:cat>
            <c:strRef>
              <c:f>Transport_Mode_Workers!$A$2:$A$7</c:f>
            </c:strRef>
          </c:cat>
          <c:val>
            <c:numRef>
              <c:f>Transport_Mode_Workers!$B$2:$B$7</c:f>
              <c:numCache/>
            </c:numRef>
          </c:val>
        </c:ser>
        <c:axId val="1160224305"/>
        <c:axId val="1583203898"/>
      </c:barChart>
      <c:catAx>
        <c:axId val="11602243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Mode of Transport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3203898"/>
      </c:catAx>
      <c:valAx>
        <c:axId val="15832038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Percentage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02243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Household  Transport Costs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Weekly Transport Costs for Work</c:v>
          </c:tx>
          <c:spPr>
            <a:solidFill>
              <a:srgbClr val="9FC5E8"/>
            </a:solidFill>
            <a:ln cmpd="sng">
              <a:solidFill>
                <a:srgbClr val="073763">
                  <a:alpha val="100000"/>
                </a:srgbClr>
              </a:solidFill>
              <a:prstDash val="sysDot"/>
            </a:ln>
          </c:spPr>
          <c:cat>
            <c:strRef>
              <c:f>Household_Transport_Costs!$A$3:$A$6</c:f>
            </c:strRef>
          </c:cat>
          <c:val>
            <c:numRef>
              <c:f>Household_Transport_Costs!$B$3:$B$6</c:f>
              <c:numCache/>
            </c:numRef>
          </c:val>
        </c:ser>
        <c:ser>
          <c:idx val="1"/>
          <c:order val="1"/>
          <c:tx>
            <c:v>Weekly Transport Costs for Education</c:v>
          </c:tx>
          <c:spPr>
            <a:solidFill>
              <a:srgbClr val="EA9999"/>
            </a:solidFill>
            <a:ln cmpd="sng">
              <a:solidFill>
                <a:srgbClr val="660000">
                  <a:alpha val="100000"/>
                </a:srgbClr>
              </a:solidFill>
              <a:prstDash val="sysDot"/>
            </a:ln>
          </c:spPr>
          <c:cat>
            <c:strRef>
              <c:f>Household_Transport_Costs!$A$3:$A$6</c:f>
            </c:strRef>
          </c:cat>
          <c:val>
            <c:numRef>
              <c:f>Household_Transport_Costs!$C$3:$C$6</c:f>
              <c:numCache/>
            </c:numRef>
          </c:val>
        </c:ser>
        <c:overlap val="100"/>
        <c:axId val="678149102"/>
        <c:axId val="633282244"/>
      </c:barChart>
      <c:catAx>
        <c:axId val="6781491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3282244"/>
      </c:catAx>
      <c:valAx>
        <c:axId val="6332822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81491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Annual Transport Expenditure (R) and Difference from National Average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Bars</c:v>
          </c:tx>
          <c:spPr>
            <a:solidFill>
              <a:srgbClr val="A4C2F4"/>
            </a:solidFill>
            <a:ln cmpd="sng">
              <a:solidFill>
                <a:srgbClr val="0B5394">
                  <a:alpha val="100000"/>
                </a:srgbClr>
              </a:solidFill>
              <a:prstDash val="sysDot"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Provincial_Transport_Expenditur!$A$2:$A$5</c:f>
            </c:strRef>
          </c:cat>
          <c:val>
            <c:numRef>
              <c:f>Provincial_Transport_Expenditur!$B$2:$B$5</c:f>
              <c:numCache/>
            </c:numRef>
          </c:val>
        </c:ser>
        <c:axId val="915251168"/>
        <c:axId val="2129230122"/>
      </c:barChart>
      <c:lineChart>
        <c:varyColors val="0"/>
        <c:ser>
          <c:idx val="1"/>
          <c:order val="1"/>
          <c:tx>
            <c:v>Line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Provincial_Transport_Expenditur!$A$2:$A$5</c:f>
            </c:strRef>
          </c:cat>
          <c:val>
            <c:numRef>
              <c:f>Provincial_Transport_Expenditur!$B$2:$B$5</c:f>
              <c:numCache/>
            </c:numRef>
          </c:val>
          <c:smooth val="0"/>
        </c:ser>
        <c:axId val="915251168"/>
        <c:axId val="2129230122"/>
      </c:lineChart>
      <c:catAx>
        <c:axId val="9152511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Province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9230122"/>
      </c:catAx>
      <c:valAx>
        <c:axId val="21292301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52511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781050</xdr:colOff>
      <xdr:row>0</xdr:row>
      <xdr:rowOff>38100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190500</xdr:colOff>
      <xdr:row>8</xdr:row>
      <xdr:rowOff>85725</xdr:rowOff>
    </xdr:from>
    <xdr:ext cx="607695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9</xdr:row>
      <xdr:rowOff>19050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8</xdr:row>
      <xdr:rowOff>95250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7</xdr:row>
      <xdr:rowOff>123825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19.63"/>
  </cols>
  <sheetData>
    <row r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3</v>
      </c>
      <c r="B2" s="4">
        <v>61.1</v>
      </c>
      <c r="C2" s="4">
        <v>22.8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4</v>
      </c>
      <c r="B3" s="4">
        <v>14.8</v>
      </c>
      <c r="C3" s="4" t="s">
        <v>5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6</v>
      </c>
      <c r="B4" s="4">
        <v>10.1</v>
      </c>
      <c r="C4" s="4">
        <v>25.9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7</v>
      </c>
      <c r="B5" s="4">
        <v>7.1</v>
      </c>
      <c r="C5" s="4">
        <v>24.3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8</v>
      </c>
      <c r="B6" s="4">
        <v>1.5</v>
      </c>
      <c r="C6" s="4">
        <v>3.6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9</v>
      </c>
      <c r="B7" s="4" t="s">
        <v>5</v>
      </c>
      <c r="C7" s="4">
        <v>2.6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41.38"/>
  </cols>
  <sheetData>
    <row r="1">
      <c r="A1" s="5" t="s">
        <v>10</v>
      </c>
      <c r="B1" s="5" t="s">
        <v>11</v>
      </c>
    </row>
    <row r="2">
      <c r="A2" s="6" t="s">
        <v>3</v>
      </c>
      <c r="B2" s="6">
        <v>61.1</v>
      </c>
    </row>
    <row r="3">
      <c r="A3" s="6" t="s">
        <v>12</v>
      </c>
      <c r="B3" s="6">
        <v>14.8</v>
      </c>
    </row>
    <row r="4">
      <c r="A4" s="6" t="s">
        <v>6</v>
      </c>
      <c r="B4" s="6">
        <v>10.1</v>
      </c>
    </row>
    <row r="5">
      <c r="A5" s="6" t="s">
        <v>7</v>
      </c>
      <c r="B5" s="6">
        <v>7.1</v>
      </c>
    </row>
    <row r="6">
      <c r="A6" s="6" t="s">
        <v>8</v>
      </c>
      <c r="B6" s="6">
        <v>1.5</v>
      </c>
    </row>
    <row r="7">
      <c r="A7" s="6" t="s">
        <v>13</v>
      </c>
      <c r="B7" s="6">
        <v>5.4</v>
      </c>
    </row>
    <row r="8">
      <c r="A8" s="7" t="s">
        <v>14</v>
      </c>
      <c r="B8" s="8">
        <f>SUM(B2:B7)</f>
        <v>100</v>
      </c>
    </row>
    <row r="9">
      <c r="A9" s="9"/>
      <c r="B9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29.75"/>
  </cols>
  <sheetData>
    <row r="1">
      <c r="A1" s="10" t="s">
        <v>0</v>
      </c>
      <c r="B1" s="10" t="s">
        <v>15</v>
      </c>
    </row>
    <row r="2">
      <c r="A2" s="11" t="s">
        <v>3</v>
      </c>
      <c r="B2" s="11">
        <v>22.8</v>
      </c>
    </row>
    <row r="3">
      <c r="A3" s="11" t="s">
        <v>16</v>
      </c>
      <c r="B3" s="11">
        <v>25.9</v>
      </c>
    </row>
    <row r="4">
      <c r="A4" s="11" t="s">
        <v>7</v>
      </c>
      <c r="B4" s="11">
        <v>24.3</v>
      </c>
    </row>
    <row r="5">
      <c r="A5" s="11" t="s">
        <v>8</v>
      </c>
      <c r="B5" s="11">
        <v>3.6</v>
      </c>
    </row>
    <row r="6">
      <c r="A6" s="11" t="s">
        <v>17</v>
      </c>
      <c r="B6" s="11">
        <v>2.6</v>
      </c>
    </row>
    <row r="7">
      <c r="A7" s="11" t="s">
        <v>18</v>
      </c>
      <c r="B7" s="11">
        <v>20.8</v>
      </c>
    </row>
    <row r="8">
      <c r="A8" s="7" t="s">
        <v>14</v>
      </c>
      <c r="B8" s="8">
        <f>SUM(B2:B7)</f>
        <v>100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44.88"/>
    <col customWidth="1" min="3" max="3" width="53.5"/>
    <col customWidth="1" min="4" max="27" width="24.5"/>
  </cols>
  <sheetData>
    <row r="1" ht="18.75" customHeight="1">
      <c r="A1" s="12" t="s">
        <v>19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4"/>
      <c r="Z1" s="15"/>
      <c r="AA1" s="15"/>
    </row>
    <row r="2">
      <c r="A2" s="16" t="s">
        <v>20</v>
      </c>
      <c r="B2" s="16" t="s">
        <v>21</v>
      </c>
      <c r="C2" s="17" t="s">
        <v>21</v>
      </c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</row>
    <row r="3" ht="18.75" customHeight="1">
      <c r="A3" s="19" t="s">
        <v>22</v>
      </c>
      <c r="B3" s="19">
        <v>74.5</v>
      </c>
      <c r="C3" s="19">
        <v>26.9</v>
      </c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</row>
    <row r="4">
      <c r="A4" s="19" t="s">
        <v>23</v>
      </c>
      <c r="B4" s="19"/>
      <c r="C4" s="19">
        <v>24.5</v>
      </c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</row>
    <row r="5">
      <c r="A5" s="19" t="s">
        <v>24</v>
      </c>
      <c r="C5" s="19">
        <v>15.0</v>
      </c>
      <c r="Z5" s="18"/>
      <c r="AA5" s="18"/>
    </row>
    <row r="6" ht="18.75" customHeight="1">
      <c r="A6" s="19" t="s">
        <v>25</v>
      </c>
      <c r="B6" s="19">
        <v>25.5</v>
      </c>
      <c r="C6" s="19">
        <v>33.6</v>
      </c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</row>
    <row r="7">
      <c r="A7" s="20" t="s">
        <v>26</v>
      </c>
      <c r="B7" s="21">
        <f>Sum(B3+B6)</f>
        <v>100</v>
      </c>
      <c r="C7" s="22">
        <f>SUM(C3:C6)</f>
        <v>100</v>
      </c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</row>
    <row r="8" ht="18.75" customHeight="1"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</row>
    <row r="9">
      <c r="A9" s="19"/>
      <c r="B9" s="19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</row>
    <row r="10">
      <c r="A10" s="19"/>
      <c r="B10" s="19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</row>
    <row r="1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</row>
    <row r="12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</row>
    <row r="13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r="14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</row>
    <row r="1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</row>
    <row r="16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</row>
    <row r="17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</row>
    <row r="18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</row>
    <row r="19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</row>
    <row r="20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</row>
    <row r="2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</row>
    <row r="22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</row>
    <row r="2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</row>
    <row r="24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</row>
    <row r="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r="26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</row>
    <row r="27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r="28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</row>
    <row r="29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</row>
    <row r="30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</row>
    <row r="3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</row>
    <row r="3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</row>
    <row r="34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</row>
    <row r="3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</row>
    <row r="36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</row>
    <row r="37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</row>
    <row r="38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</row>
    <row r="39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</row>
    <row r="40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</row>
    <row r="4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</row>
    <row r="4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</row>
    <row r="4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</row>
    <row r="44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</row>
    <row r="4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</row>
    <row r="46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</row>
    <row r="47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</row>
    <row r="48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</row>
    <row r="49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</row>
    <row r="50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</row>
    <row r="5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</row>
    <row r="5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</row>
    <row r="5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</row>
    <row r="54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</row>
    <row r="5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</row>
    <row r="56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</row>
    <row r="57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</row>
    <row r="58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</row>
    <row r="59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</row>
    <row r="60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</row>
    <row r="6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</row>
    <row r="6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</row>
    <row r="6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</row>
    <row r="64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</row>
    <row r="6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</row>
    <row r="66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</row>
    <row r="67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</row>
    <row r="68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</row>
    <row r="69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</row>
    <row r="70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</row>
    <row r="7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</row>
    <row r="7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</row>
    <row r="7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</row>
    <row r="74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</row>
    <row r="7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</row>
    <row r="76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</row>
    <row r="77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</row>
    <row r="78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</row>
    <row r="79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</row>
    <row r="80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</row>
    <row r="8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</row>
    <row r="8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</row>
    <row r="8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</row>
    <row r="84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</row>
    <row r="8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</row>
    <row r="86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</row>
    <row r="87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</row>
    <row r="88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</row>
    <row r="89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</row>
    <row r="90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</row>
    <row r="9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</row>
    <row r="9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</row>
    <row r="9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</row>
    <row r="94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</row>
    <row r="9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</row>
    <row r="9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</row>
    <row r="97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</row>
    <row r="98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</row>
    <row r="99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</row>
    <row r="100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</row>
    <row r="10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</row>
    <row r="10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</row>
    <row r="10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</row>
    <row r="104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</row>
    <row r="10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</row>
    <row r="10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</row>
    <row r="107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</row>
    <row r="109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</row>
    <row r="110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</row>
    <row r="11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</row>
    <row r="11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</row>
    <row r="11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</row>
    <row r="1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</row>
    <row r="117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</row>
    <row r="119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</row>
    <row r="12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</row>
    <row r="1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</row>
    <row r="127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</row>
    <row r="128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</row>
    <row r="129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</row>
    <row r="130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</row>
    <row r="13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</row>
    <row r="13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</row>
    <row r="134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</row>
    <row r="13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</row>
    <row r="13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</row>
    <row r="137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</row>
    <row r="139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</row>
    <row r="140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</row>
    <row r="14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</row>
    <row r="14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</row>
    <row r="14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</row>
    <row r="14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</row>
    <row r="14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</row>
    <row r="147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</row>
    <row r="149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</row>
    <row r="15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</row>
    <row r="16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</row>
    <row r="19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</row>
    <row r="19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</row>
    <row r="194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</row>
    <row r="19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</row>
    <row r="19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</row>
    <row r="199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</row>
    <row r="20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</row>
    <row r="20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</row>
    <row r="20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</row>
    <row r="204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</row>
    <row r="20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</row>
    <row r="20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</row>
    <row r="207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</row>
    <row r="208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</row>
    <row r="209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</row>
    <row r="210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</row>
    <row r="21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</row>
    <row r="21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</row>
    <row r="21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</row>
    <row r="214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</row>
    <row r="2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</row>
    <row r="217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</row>
    <row r="218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</row>
    <row r="219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</row>
    <row r="220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</row>
    <row r="22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</row>
    <row r="22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</row>
    <row r="22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</row>
    <row r="224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</row>
    <row r="2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</row>
    <row r="226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</row>
    <row r="227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</row>
    <row r="228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</row>
    <row r="229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</row>
    <row r="230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</row>
    <row r="23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</row>
    <row r="23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</row>
    <row r="23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</row>
    <row r="234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</row>
    <row r="23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</row>
    <row r="236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</row>
    <row r="237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</row>
    <row r="238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</row>
    <row r="239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</row>
    <row r="240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</row>
    <row r="24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</row>
    <row r="24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</row>
    <row r="24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</row>
    <row r="244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</row>
    <row r="24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</row>
    <row r="24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</row>
    <row r="247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</row>
    <row r="248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</row>
    <row r="249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</row>
    <row r="25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</row>
    <row r="25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</row>
    <row r="25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</row>
    <row r="254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</row>
    <row r="25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</row>
    <row r="256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</row>
    <row r="257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</row>
    <row r="258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</row>
    <row r="259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</row>
    <row r="260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</row>
    <row r="26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</row>
    <row r="26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</row>
    <row r="26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</row>
    <row r="264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</row>
    <row r="26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</row>
    <row r="266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</row>
    <row r="267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</row>
    <row r="268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</row>
    <row r="269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</row>
    <row r="270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</row>
    <row r="27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</row>
    <row r="27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</row>
    <row r="27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</row>
    <row r="274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</row>
    <row r="27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</row>
    <row r="276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</row>
    <row r="277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</row>
    <row r="278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</row>
    <row r="279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</row>
    <row r="280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</row>
    <row r="28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</row>
    <row r="28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</row>
    <row r="28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</row>
    <row r="284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</row>
    <row r="28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</row>
    <row r="286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</row>
    <row r="287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</row>
    <row r="288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</row>
    <row r="289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</row>
    <row r="290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</row>
    <row r="29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</row>
    <row r="29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</row>
    <row r="29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</row>
    <row r="294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</row>
    <row r="29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</row>
    <row r="296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</row>
    <row r="297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</row>
    <row r="298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</row>
    <row r="299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</row>
    <row r="300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</row>
    <row r="30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</row>
    <row r="30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</row>
    <row r="30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</row>
    <row r="304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</row>
    <row r="30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</row>
    <row r="306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</row>
    <row r="307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</row>
    <row r="308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</row>
    <row r="309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</row>
    <row r="310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</row>
    <row r="31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</row>
    <row r="31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</row>
    <row r="31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</row>
    <row r="314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</row>
    <row r="3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</row>
    <row r="31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</row>
    <row r="317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</row>
    <row r="318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</row>
    <row r="319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</row>
    <row r="320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</row>
    <row r="32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</row>
    <row r="32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</row>
    <row r="32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</row>
    <row r="324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</row>
    <row r="3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</row>
    <row r="32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</row>
    <row r="327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</row>
    <row r="328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</row>
    <row r="329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</row>
    <row r="330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</row>
    <row r="33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</row>
    <row r="33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</row>
    <row r="33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</row>
    <row r="334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</row>
    <row r="3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</row>
    <row r="336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</row>
    <row r="337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</row>
    <row r="338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</row>
    <row r="339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</row>
    <row r="340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</row>
    <row r="34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</row>
    <row r="34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</row>
    <row r="34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</row>
    <row r="344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</row>
    <row r="34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</row>
    <row r="346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</row>
    <row r="347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</row>
    <row r="348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</row>
    <row r="349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</row>
    <row r="350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</row>
    <row r="35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</row>
    <row r="35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</row>
    <row r="35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</row>
    <row r="354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</row>
    <row r="35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</row>
    <row r="356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</row>
    <row r="357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</row>
    <row r="358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</row>
    <row r="359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</row>
    <row r="360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</row>
    <row r="36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</row>
    <row r="36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</row>
    <row r="36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</row>
    <row r="364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</row>
    <row r="36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</row>
    <row r="36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</row>
    <row r="367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</row>
    <row r="368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</row>
    <row r="369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</row>
    <row r="370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</row>
    <row r="37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</row>
    <row r="37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</row>
    <row r="37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</row>
    <row r="374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</row>
    <row r="37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</row>
    <row r="37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</row>
    <row r="377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</row>
    <row r="378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</row>
    <row r="379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</row>
    <row r="380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</row>
    <row r="38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</row>
    <row r="38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</row>
    <row r="38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</row>
    <row r="384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</row>
    <row r="38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</row>
    <row r="38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</row>
    <row r="387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</row>
    <row r="388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</row>
    <row r="389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</row>
    <row r="390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</row>
    <row r="39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</row>
    <row r="39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</row>
    <row r="39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</row>
    <row r="394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</row>
    <row r="39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</row>
    <row r="39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</row>
    <row r="397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</row>
    <row r="398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</row>
    <row r="399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</row>
    <row r="400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</row>
    <row r="40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</row>
    <row r="40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</row>
    <row r="40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</row>
    <row r="404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</row>
    <row r="40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</row>
    <row r="40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</row>
    <row r="407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</row>
    <row r="408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</row>
    <row r="409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</row>
    <row r="410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</row>
    <row r="41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</row>
    <row r="41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</row>
    <row r="41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</row>
    <row r="414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</row>
    <row r="4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</row>
    <row r="417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</row>
    <row r="419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</row>
    <row r="42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</row>
    <row r="42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</row>
    <row r="4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</row>
    <row r="427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</row>
    <row r="429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</row>
    <row r="43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</row>
    <row r="43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</row>
    <row r="43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</row>
    <row r="434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</row>
    <row r="4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</row>
    <row r="43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</row>
    <row r="437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</row>
    <row r="438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</row>
    <row r="439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</row>
    <row r="440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</row>
    <row r="44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</row>
    <row r="44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</row>
    <row r="44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</row>
    <row r="444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</row>
    <row r="44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</row>
    <row r="44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</row>
    <row r="447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</row>
    <row r="448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</row>
    <row r="449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</row>
    <row r="450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</row>
    <row r="45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</row>
    <row r="45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</row>
    <row r="45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</row>
    <row r="454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</row>
    <row r="45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</row>
    <row r="45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</row>
    <row r="457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</row>
    <row r="458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</row>
    <row r="459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</row>
    <row r="460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</row>
    <row r="46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</row>
    <row r="46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</row>
    <row r="46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</row>
    <row r="464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</row>
    <row r="46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</row>
    <row r="46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</row>
    <row r="467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</row>
    <row r="468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</row>
    <row r="469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</row>
    <row r="470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</row>
    <row r="47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</row>
    <row r="47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</row>
    <row r="47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</row>
    <row r="474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</row>
    <row r="47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</row>
    <row r="47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</row>
    <row r="477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</row>
    <row r="478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</row>
    <row r="479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</row>
    <row r="480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</row>
    <row r="48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</row>
    <row r="48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</row>
    <row r="48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</row>
    <row r="484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</row>
    <row r="48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</row>
    <row r="48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</row>
    <row r="487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</row>
    <row r="488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</row>
    <row r="489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</row>
    <row r="490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</row>
    <row r="49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</row>
    <row r="49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</row>
    <row r="49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</row>
    <row r="494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</row>
    <row r="49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</row>
    <row r="49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</row>
    <row r="497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</row>
    <row r="498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</row>
    <row r="499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</row>
    <row r="500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</row>
    <row r="50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</row>
    <row r="50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</row>
    <row r="50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</row>
    <row r="504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</row>
    <row r="50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</row>
    <row r="506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</row>
    <row r="507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</row>
    <row r="508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</row>
    <row r="509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</row>
    <row r="510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</row>
    <row r="51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</row>
    <row r="51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</row>
    <row r="51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</row>
    <row r="514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</row>
    <row r="51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</row>
    <row r="516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</row>
    <row r="517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</row>
    <row r="518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</row>
    <row r="519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</row>
    <row r="520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</row>
    <row r="52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</row>
    <row r="52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</row>
    <row r="52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</row>
    <row r="524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</row>
    <row r="5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</row>
    <row r="52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</row>
    <row r="527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</row>
    <row r="528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</row>
    <row r="529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</row>
    <row r="530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</row>
    <row r="53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</row>
    <row r="53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</row>
    <row r="53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</row>
    <row r="534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</row>
    <row r="5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</row>
    <row r="53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</row>
    <row r="537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</row>
    <row r="538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</row>
    <row r="539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</row>
    <row r="540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</row>
    <row r="54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</row>
    <row r="54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</row>
    <row r="54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</row>
    <row r="544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</row>
    <row r="54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</row>
    <row r="54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</row>
    <row r="547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</row>
    <row r="548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</row>
    <row r="549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</row>
    <row r="550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</row>
    <row r="55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</row>
    <row r="55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</row>
    <row r="55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</row>
    <row r="554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</row>
    <row r="55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</row>
    <row r="55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</row>
    <row r="557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</row>
    <row r="558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</row>
    <row r="559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</row>
    <row r="560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</row>
    <row r="56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</row>
    <row r="56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</row>
    <row r="56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</row>
    <row r="564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</row>
    <row r="56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</row>
    <row r="56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</row>
    <row r="567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</row>
    <row r="568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</row>
    <row r="569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</row>
    <row r="570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</row>
    <row r="57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</row>
    <row r="57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</row>
    <row r="57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</row>
    <row r="574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</row>
    <row r="57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</row>
    <row r="576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</row>
    <row r="577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</row>
    <row r="578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</row>
    <row r="579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</row>
    <row r="580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</row>
    <row r="58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</row>
    <row r="58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</row>
    <row r="58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</row>
    <row r="584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</row>
    <row r="58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</row>
    <row r="586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</row>
    <row r="587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</row>
    <row r="588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</row>
    <row r="589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</row>
    <row r="590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</row>
    <row r="59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</row>
    <row r="59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</row>
    <row r="59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</row>
    <row r="594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</row>
    <row r="59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</row>
    <row r="596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</row>
    <row r="597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</row>
    <row r="598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</row>
    <row r="89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</row>
    <row r="89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</row>
    <row r="89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</row>
    <row r="897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</row>
    <row r="899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</row>
    <row r="90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</row>
    <row r="90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</row>
    <row r="90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</row>
    <row r="907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</row>
    <row r="909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</row>
    <row r="91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</row>
    <row r="91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</row>
    <row r="9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</row>
    <row r="917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</row>
    <row r="919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</row>
    <row r="92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</row>
    <row r="92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</row>
    <row r="9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</row>
    <row r="927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</row>
    <row r="929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</row>
    <row r="93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</row>
    <row r="93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</row>
    <row r="9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</row>
    <row r="937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</row>
    <row r="95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</row>
    <row r="95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</row>
    <row r="954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</row>
    <row r="95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</row>
    <row r="95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</row>
    <row r="957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</row>
    <row r="958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</row>
    <row r="959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</row>
    <row r="960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</row>
    <row r="96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</row>
    <row r="96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</row>
    <row r="96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</row>
    <row r="964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</row>
    <row r="96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</row>
    <row r="96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</row>
    <row r="967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</row>
    <row r="968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</row>
    <row r="969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</row>
    <row r="970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</row>
    <row r="97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</row>
    <row r="97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</row>
    <row r="97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</row>
    <row r="974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</row>
    <row r="97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</row>
    <row r="97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</row>
    <row r="977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</row>
    <row r="978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</row>
    <row r="979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</row>
    <row r="980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</row>
    <row r="98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</row>
    <row r="982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</row>
    <row r="98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</row>
    <row r="984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</row>
    <row r="98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</row>
    <row r="986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</row>
    <row r="987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</row>
    <row r="988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</row>
    <row r="989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</row>
    <row r="990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</row>
    <row r="99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</row>
    <row r="992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</row>
    <row r="99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</row>
    <row r="994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</row>
    <row r="99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</row>
    <row r="996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</row>
    <row r="997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</row>
  </sheetData>
  <mergeCells count="1">
    <mergeCell ref="A1:Y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34.88"/>
  </cols>
  <sheetData>
    <row r="1">
      <c r="A1" s="23" t="s">
        <v>27</v>
      </c>
      <c r="B1" s="23" t="s">
        <v>28</v>
      </c>
    </row>
    <row r="2">
      <c r="A2" s="24" t="s">
        <v>29</v>
      </c>
      <c r="B2" s="25">
        <v>33487.0</v>
      </c>
    </row>
    <row r="3">
      <c r="A3" s="24" t="s">
        <v>30</v>
      </c>
      <c r="B3" s="25">
        <v>29333.0</v>
      </c>
    </row>
    <row r="4">
      <c r="A4" s="24" t="s">
        <v>31</v>
      </c>
      <c r="B4" s="25">
        <v>21964.0</v>
      </c>
    </row>
    <row r="5">
      <c r="A5" s="24" t="s">
        <v>32</v>
      </c>
      <c r="B5" s="25">
        <v>21930.0</v>
      </c>
    </row>
    <row r="6">
      <c r="A6" s="26"/>
      <c r="B6" s="26"/>
    </row>
    <row r="7">
      <c r="B7" s="27"/>
    </row>
  </sheetData>
  <drawing r:id="rId1"/>
</worksheet>
</file>